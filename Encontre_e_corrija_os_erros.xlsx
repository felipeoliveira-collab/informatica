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úario\Desktop\Aulas DCFS\2025.2\Unidade 2 Excel\"/>
    </mc:Choice>
  </mc:AlternateContent>
  <xr:revisionPtr revIDLastSave="0" documentId="13_ncr:1_{E947DDC3-E687-4993-801F-F0DA4FE8B718}" xr6:coauthVersionLast="47" xr6:coauthVersionMax="47" xr10:uidLastSave="{00000000-0000-0000-0000-000000000000}"/>
  <bookViews>
    <workbookView xWindow="-120" yWindow="-120" windowWidth="20730" windowHeight="11160" xr2:uid="{CEEEAD83-FA49-47EA-A1A6-060A8BD7CFE0}"/>
  </bookViews>
  <sheets>
    <sheet name="Corrigir endereços" sheetId="1" r:id="rId1"/>
    <sheet name="Corrigir intervalos" sheetId="3" r:id="rId2"/>
    <sheet name="Ordem de operadores" sheetId="2" r:id="rId3"/>
    <sheet name="Apenas Fórmulas" sheetId="5" r:id="rId4"/>
    <sheet name="Apenas funções" sheetId="6" r:id="rId5"/>
    <sheet name="Gráfico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2" i="6" l="1"/>
  <c r="J12" i="6"/>
  <c r="H11" i="6"/>
  <c r="G11" i="6"/>
  <c r="F11" i="6"/>
  <c r="B11" i="6"/>
  <c r="E11" i="6" a="1"/>
  <c r="E11" i="6" s="1"/>
  <c r="D11" i="6" a="1"/>
  <c r="D11" i="6" s="1"/>
  <c r="C11" i="6"/>
  <c r="A11" i="6" a="1"/>
  <c r="A11" i="6" s="1"/>
  <c r="D14" i="3"/>
  <c r="D10" i="3"/>
  <c r="C10" i="3"/>
  <c r="B10" i="3"/>
  <c r="D11" i="5"/>
  <c r="C11" i="5"/>
  <c r="B11" i="5"/>
  <c r="C15" i="1"/>
  <c r="B15" i="1"/>
  <c r="A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<sst xmlns="http://schemas.openxmlformats.org/spreadsheetml/2006/main" count="95" uniqueCount="45">
  <si>
    <t>Umidade %)</t>
  </si>
  <si>
    <t>Temperatura °C</t>
  </si>
  <si>
    <t>Chuva mm</t>
  </si>
  <si>
    <t>Dia</t>
  </si>
  <si>
    <t>B3</t>
  </si>
  <si>
    <t>8C</t>
  </si>
  <si>
    <t>3D</t>
  </si>
  <si>
    <t>Endereço:</t>
  </si>
  <si>
    <t>Soma:</t>
  </si>
  <si>
    <t>seg</t>
  </si>
  <si>
    <t>ter</t>
  </si>
  <si>
    <t>qua</t>
  </si>
  <si>
    <t>qui</t>
  </si>
  <si>
    <t>sex</t>
  </si>
  <si>
    <t>sab</t>
  </si>
  <si>
    <t>dom</t>
  </si>
  <si>
    <t>7E</t>
  </si>
  <si>
    <t>C3\D3</t>
  </si>
  <si>
    <t>=D4%C4</t>
  </si>
  <si>
    <r>
      <t>=2+3*4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(</t>
    </r>
    <r>
      <rPr>
        <sz val="11"/>
        <color theme="1"/>
        <rFont val="Aptos Narrow"/>
        <family val="2"/>
        <scheme val="minor"/>
      </rPr>
      <t>o</t>
    </r>
    <r>
      <rPr>
        <sz val="10"/>
        <color theme="1"/>
        <rFont val="Arial Unicode MS"/>
      </rPr>
      <t xml:space="preserve"> resultado deve ser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20</t>
    </r>
    <r>
      <rPr>
        <sz val="10"/>
        <color theme="1"/>
        <rFont val="Arial Unicode MS"/>
      </rPr>
      <t>)</t>
    </r>
  </si>
  <si>
    <r>
      <t>=10+20/5</t>
    </r>
    <r>
      <rPr>
        <sz val="11"/>
        <color theme="1"/>
        <rFont val="Aptos Narrow"/>
        <family val="2"/>
        <scheme val="minor"/>
      </rPr>
      <t xml:space="preserve"> (querer </t>
    </r>
    <r>
      <rPr>
        <b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)</t>
    </r>
  </si>
  <si>
    <r>
      <rPr>
        <sz val="11"/>
        <color theme="1"/>
        <rFont val="Aptos Narrow"/>
        <family val="2"/>
        <scheme val="minor"/>
      </rPr>
      <t xml:space="preserve"> (Temp. de </t>
    </r>
    <r>
      <rPr>
        <b/>
        <sz val="11"/>
        <color theme="1"/>
        <rFont val="Aptos Narrow"/>
        <family val="2"/>
        <scheme val="minor"/>
      </rPr>
      <t>quarta</t>
    </r>
    <r>
      <rPr>
        <sz val="11"/>
        <color theme="1"/>
        <rFont val="Aptos Narrow"/>
        <family val="2"/>
        <scheme val="minor"/>
      </rPr>
      <t>)</t>
    </r>
  </si>
  <si>
    <r>
      <rPr>
        <sz val="11"/>
        <color theme="1"/>
        <rFont val="Aptos Narrow"/>
        <family val="2"/>
        <scheme val="minor"/>
      </rPr>
      <t xml:space="preserve"> (Umidade de </t>
    </r>
    <r>
      <rPr>
        <b/>
        <sz val="11"/>
        <color theme="1"/>
        <rFont val="Aptos Narrow"/>
        <family val="2"/>
        <scheme val="minor"/>
      </rPr>
      <t>sábado</t>
    </r>
    <r>
      <rPr>
        <sz val="11"/>
        <color theme="1"/>
        <rFont val="Aptos Narrow"/>
        <family val="2"/>
        <scheme val="minor"/>
      </rPr>
      <t>)</t>
    </r>
  </si>
  <si>
    <r>
      <rPr>
        <sz val="11"/>
        <color theme="1"/>
        <rFont val="Aptos Narrow"/>
        <family val="2"/>
        <scheme val="minor"/>
      </rPr>
      <t xml:space="preserve"> (Chuva de </t>
    </r>
    <r>
      <rPr>
        <b/>
        <sz val="11"/>
        <color theme="1"/>
        <rFont val="Aptos Narrow"/>
        <family val="2"/>
        <scheme val="minor"/>
      </rPr>
      <t>sexta</t>
    </r>
    <r>
      <rPr>
        <sz val="11"/>
        <color theme="1"/>
        <rFont val="Aptos Narrow"/>
        <family val="2"/>
        <scheme val="minor"/>
      </rPr>
      <t>)</t>
    </r>
  </si>
  <si>
    <t xml:space="preserve"> (Endereço “coluna E, linha 7”)</t>
  </si>
  <si>
    <r>
      <rPr>
        <sz val="11"/>
        <color theme="1"/>
        <rFont val="Aptos Narrow"/>
        <family val="2"/>
        <scheme val="minor"/>
      </rPr>
      <t xml:space="preserve"> (quociente </t>
    </r>
    <r>
      <rPr>
        <b/>
        <sz val="11"/>
        <color theme="1"/>
        <rFont val="Aptos Narrow"/>
        <family val="2"/>
        <scheme val="minor"/>
      </rPr>
      <t>Temp/Chuva</t>
    </r>
    <r>
      <rPr>
        <sz val="11"/>
        <color theme="1"/>
        <rFont val="Aptos Narrow"/>
        <family val="2"/>
        <scheme val="minor"/>
      </rPr>
      <t xml:space="preserve"> de terça)</t>
    </r>
  </si>
  <si>
    <r>
      <rPr>
        <sz val="11"/>
        <color theme="1"/>
        <rFont val="Aptos Narrow"/>
        <family val="2"/>
        <scheme val="minor"/>
      </rPr>
      <t xml:space="preserve"> (quociente </t>
    </r>
    <r>
      <rPr>
        <b/>
        <sz val="11"/>
        <color theme="1"/>
        <rFont val="Aptos Narrow"/>
        <family val="2"/>
        <scheme val="minor"/>
      </rPr>
      <t>Chuva/Temp</t>
    </r>
    <r>
      <rPr>
        <sz val="11"/>
        <color theme="1"/>
        <rFont val="Aptos Narrow"/>
        <family val="2"/>
        <scheme val="minor"/>
      </rPr>
      <t xml:space="preserve"> de qua)</t>
    </r>
  </si>
  <si>
    <r>
      <rPr>
        <sz val="11"/>
        <color theme="1"/>
        <rFont val="Aptos Narrow"/>
        <family val="2"/>
        <scheme val="minor"/>
      </rPr>
      <t xml:space="preserve">(Chuva </t>
    </r>
    <r>
      <rPr>
        <b/>
        <sz val="11"/>
        <color theme="1"/>
        <rFont val="Aptos Narrow"/>
        <family val="2"/>
        <scheme val="minor"/>
      </rPr>
      <t>Qua–Sáb</t>
    </r>
    <r>
      <rPr>
        <sz val="11"/>
        <color theme="1"/>
        <rFont val="Aptos Narrow"/>
        <family val="2"/>
        <scheme val="minor"/>
      </rPr>
      <t>)</t>
    </r>
  </si>
  <si>
    <r>
      <rPr>
        <sz val="11"/>
        <color theme="1"/>
        <rFont val="Aptos Narrow"/>
        <family val="2"/>
        <scheme val="minor"/>
      </rPr>
      <t xml:space="preserve"> (soma 2 primeiros </t>
    </r>
    <r>
      <rPr>
        <b/>
        <sz val="11"/>
        <color theme="1"/>
        <rFont val="Aptos Narrow"/>
        <family val="2"/>
        <scheme val="minor"/>
      </rPr>
      <t>Umidade</t>
    </r>
    <r>
      <rPr>
        <sz val="11"/>
        <color theme="1"/>
        <rFont val="Aptos Narrow"/>
        <family val="2"/>
        <scheme val="minor"/>
      </rPr>
      <t>)</t>
    </r>
  </si>
  <si>
    <r>
      <rPr>
        <sz val="11"/>
        <color theme="1"/>
        <rFont val="Aptos Narrow"/>
        <family val="2"/>
        <scheme val="minor"/>
      </rPr>
      <t xml:space="preserve"> (soma 3 primeiros </t>
    </r>
    <r>
      <rPr>
        <b/>
        <sz val="11"/>
        <color theme="1"/>
        <rFont val="Aptos Narrow"/>
        <family val="2"/>
        <scheme val="minor"/>
      </rPr>
      <t>Temp</t>
    </r>
    <r>
      <rPr>
        <sz val="11"/>
        <color theme="1"/>
        <rFont val="Aptos Narrow"/>
        <family val="2"/>
        <scheme val="minor"/>
      </rPr>
      <t>)</t>
    </r>
  </si>
  <si>
    <r>
      <rPr>
        <sz val="11"/>
        <color theme="1"/>
        <rFont val="Aptos Narrow"/>
        <family val="2"/>
        <scheme val="minor"/>
      </rPr>
      <t xml:space="preserve"> (soma 3 primeiras </t>
    </r>
    <r>
      <rPr>
        <b/>
        <sz val="11"/>
        <color theme="1"/>
        <rFont val="Aptos Narrow"/>
        <family val="2"/>
        <scheme val="minor"/>
      </rPr>
      <t>Chuva</t>
    </r>
    <r>
      <rPr>
        <sz val="11"/>
        <color theme="1"/>
        <rFont val="Aptos Narrow"/>
        <family val="2"/>
        <scheme val="minor"/>
      </rPr>
      <t>)</t>
    </r>
  </si>
  <si>
    <t xml:space="preserve"> (Maior Umidade)</t>
  </si>
  <si>
    <t>(Menor Umidade)</t>
  </si>
  <si>
    <t>(Média Temperatura)</t>
  </si>
  <si>
    <t>(Maior Temperatura)</t>
  </si>
  <si>
    <t>(Menor Temperatura)</t>
  </si>
  <si>
    <t>(Média Chuva)</t>
  </si>
  <si>
    <t>(Menor Chuva)</t>
  </si>
  <si>
    <t xml:space="preserve"> (Maior Chuva)</t>
  </si>
  <si>
    <t>Encontrar a temperaturana na quinta-feira</t>
  </si>
  <si>
    <t>Encontrar a Umidade na terça-feira</t>
  </si>
  <si>
    <t>Classificar Chuva (choveu / não choveu)</t>
  </si>
  <si>
    <t>Classificação Temperatura (Fria&lt;30 e Quente&gt;30)</t>
  </si>
  <si>
    <t>Use SE aninhado:</t>
  </si>
  <si>
    <t>Temperatura≤ 25 → “Fria”                  Entre 26 e 32 → “Amena”                 32 → “Quente”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</si>
</sst>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0" fontId="0" fillId="2" borderId="0" xfId="0" applyFill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quotePrefix="1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3" borderId="1" xfId="0" applyFill="1" applyBorder="1"/>
    <xf numFmtId="0" fontId="0" fillId="3" borderId="2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C9DD4-E212-427F-90BC-D5B7D1B1441F}">
  <dimension ref="A1:D15"/>
  <sheetViews>
    <sheetView tabSelected="1" workbookViewId="0">
      <selection activeCell="H9" sqref="H9"/>
    </sheetView>
  </sheetViews>
  <sheetFormatPr defaultRowHeight="15"/>
  <cols>
    <col min="2" max="2" width="11.7109375" bestFit="1" customWidth="1"/>
    <col min="3" max="3" width="14.7109375" bestFit="1" customWidth="1"/>
    <col min="4" max="4" width="10.28515625" bestFit="1" customWidth="1"/>
  </cols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9</v>
      </c>
      <c r="B2">
        <v>45</v>
      </c>
      <c r="C2">
        <v>34</v>
      </c>
      <c r="D2">
        <v>12</v>
      </c>
    </row>
    <row r="3" spans="1:4">
      <c r="A3" t="s">
        <v>10</v>
      </c>
      <c r="B3">
        <v>55</v>
      </c>
      <c r="C3">
        <v>32</v>
      </c>
      <c r="D3">
        <v>4</v>
      </c>
    </row>
    <row r="4" spans="1:4">
      <c r="A4" t="s">
        <v>11</v>
      </c>
      <c r="B4" s="1">
        <v>85</v>
      </c>
      <c r="C4" s="1">
        <v>26</v>
      </c>
      <c r="D4" s="1">
        <v>30</v>
      </c>
    </row>
    <row r="5" spans="1:4">
      <c r="A5" t="s">
        <v>12</v>
      </c>
      <c r="B5" s="1">
        <v>60</v>
      </c>
      <c r="C5" s="1">
        <v>30</v>
      </c>
      <c r="D5" s="1">
        <v>10</v>
      </c>
    </row>
    <row r="6" spans="1:4">
      <c r="A6" t="s">
        <v>13</v>
      </c>
      <c r="B6" s="1">
        <v>50</v>
      </c>
      <c r="C6" s="1">
        <v>33</v>
      </c>
      <c r="D6" s="1">
        <v>0</v>
      </c>
    </row>
    <row r="7" spans="1:4">
      <c r="A7" t="s">
        <v>14</v>
      </c>
      <c r="B7" s="1">
        <v>78</v>
      </c>
      <c r="C7" s="1">
        <v>28</v>
      </c>
      <c r="D7" s="1">
        <v>22</v>
      </c>
    </row>
    <row r="8" spans="1:4">
      <c r="A8" t="s">
        <v>15</v>
      </c>
      <c r="B8" s="1">
        <v>40</v>
      </c>
      <c r="C8" s="1">
        <v>35</v>
      </c>
      <c r="D8" s="1">
        <v>6</v>
      </c>
    </row>
    <row r="11" spans="1:4">
      <c r="A11" t="s">
        <v>7</v>
      </c>
      <c r="B11" t="s">
        <v>4</v>
      </c>
      <c r="C11" t="s">
        <v>5</v>
      </c>
      <c r="D11" t="s">
        <v>6</v>
      </c>
    </row>
    <row r="14" spans="1:4" ht="45">
      <c r="A14" s="3" t="s">
        <v>21</v>
      </c>
      <c r="B14" s="3" t="s">
        <v>22</v>
      </c>
      <c r="C14" s="3" t="s">
        <v>23</v>
      </c>
      <c r="D14" s="7" t="s">
        <v>24</v>
      </c>
    </row>
    <row r="15" spans="1:4">
      <c r="A15" s="4">
        <f>C5</f>
        <v>30</v>
      </c>
      <c r="B15" s="4">
        <f>B6</f>
        <v>50</v>
      </c>
      <c r="C15" s="4">
        <f>D5</f>
        <v>10</v>
      </c>
      <c r="D15" s="4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1069-B8B3-408F-930B-85D34EDBAD6F}">
  <dimension ref="A1:D14"/>
  <sheetViews>
    <sheetView workbookViewId="0">
      <selection activeCell="D15" sqref="D15"/>
    </sheetView>
  </sheetViews>
  <sheetFormatPr defaultRowHeight="15"/>
  <cols>
    <col min="2" max="2" width="11.7109375" bestFit="1" customWidth="1"/>
    <col min="3" max="3" width="14.7109375" bestFit="1" customWidth="1"/>
    <col min="4" max="4" width="10.28515625" bestFit="1" customWidth="1"/>
  </cols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9</v>
      </c>
      <c r="B2">
        <v>45</v>
      </c>
      <c r="C2">
        <v>34</v>
      </c>
      <c r="D2">
        <v>12</v>
      </c>
    </row>
    <row r="3" spans="1:4">
      <c r="A3" t="s">
        <v>10</v>
      </c>
      <c r="B3">
        <v>55</v>
      </c>
      <c r="C3">
        <v>32</v>
      </c>
      <c r="D3">
        <v>4</v>
      </c>
    </row>
    <row r="4" spans="1:4">
      <c r="A4" t="s">
        <v>11</v>
      </c>
      <c r="B4" s="1">
        <v>85</v>
      </c>
      <c r="C4" s="1">
        <v>26</v>
      </c>
      <c r="D4" s="1">
        <v>30</v>
      </c>
    </row>
    <row r="5" spans="1:4">
      <c r="A5" t="s">
        <v>12</v>
      </c>
      <c r="B5" s="1">
        <v>60</v>
      </c>
      <c r="C5" s="1">
        <v>30</v>
      </c>
      <c r="D5" s="1">
        <v>10</v>
      </c>
    </row>
    <row r="6" spans="1:4">
      <c r="A6" t="s">
        <v>13</v>
      </c>
      <c r="B6" s="1">
        <v>50</v>
      </c>
      <c r="C6" s="1">
        <v>33</v>
      </c>
      <c r="D6" s="1">
        <v>0</v>
      </c>
    </row>
    <row r="7" spans="1:4">
      <c r="A7" t="s">
        <v>14</v>
      </c>
      <c r="B7" s="1">
        <v>78</v>
      </c>
      <c r="C7" s="1">
        <v>28</v>
      </c>
      <c r="D7" s="1">
        <v>22</v>
      </c>
    </row>
    <row r="8" spans="1:4">
      <c r="A8" t="s">
        <v>15</v>
      </c>
      <c r="B8" s="1">
        <v>40</v>
      </c>
      <c r="C8" s="1">
        <v>35</v>
      </c>
      <c r="D8" s="1">
        <v>6</v>
      </c>
    </row>
    <row r="10" spans="1:4">
      <c r="A10" t="s">
        <v>8</v>
      </c>
      <c r="B10" s="2">
        <f>B2+B4+B5+B6+B7+B8</f>
        <v>358</v>
      </c>
      <c r="C10" s="2">
        <f>SUM(C2,C8)</f>
        <v>69</v>
      </c>
      <c r="D10" s="2">
        <f>SUM(D2,D8)</f>
        <v>18</v>
      </c>
    </row>
    <row r="13" spans="1:4" ht="45">
      <c r="B13" s="5" t="s">
        <v>25</v>
      </c>
      <c r="C13" s="3" t="s">
        <v>26</v>
      </c>
      <c r="D13" s="3" t="s">
        <v>27</v>
      </c>
    </row>
    <row r="14" spans="1:4">
      <c r="B14" t="s">
        <v>17</v>
      </c>
      <c r="C14" s="4" t="s">
        <v>18</v>
      </c>
      <c r="D14" s="4">
        <f>SUM(D4,D7)</f>
        <v>52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6038D-89B7-44B3-9B68-72A1F25F897A}">
  <dimension ref="A1:D11"/>
  <sheetViews>
    <sheetView workbookViewId="0">
      <selection activeCell="C11" sqref="C11"/>
    </sheetView>
  </sheetViews>
  <sheetFormatPr defaultRowHeight="15"/>
  <cols>
    <col min="2" max="2" width="11.7109375" bestFit="1" customWidth="1"/>
    <col min="3" max="3" width="14.7109375" bestFit="1" customWidth="1"/>
    <col min="4" max="4" width="10.28515625" bestFit="1" customWidth="1"/>
  </cols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>
        <v>1</v>
      </c>
      <c r="B2">
        <v>45</v>
      </c>
      <c r="C2">
        <v>34</v>
      </c>
      <c r="D2">
        <v>12</v>
      </c>
    </row>
    <row r="3" spans="1:4">
      <c r="A3">
        <v>2</v>
      </c>
      <c r="B3">
        <v>55</v>
      </c>
      <c r="C3">
        <v>32</v>
      </c>
      <c r="D3">
        <v>4</v>
      </c>
    </row>
    <row r="4" spans="1:4">
      <c r="A4">
        <v>3</v>
      </c>
      <c r="B4" s="1">
        <v>85</v>
      </c>
      <c r="C4" s="1">
        <v>26</v>
      </c>
      <c r="D4" s="1">
        <v>30</v>
      </c>
    </row>
    <row r="5" spans="1:4">
      <c r="A5">
        <v>4</v>
      </c>
      <c r="B5" s="1">
        <v>60</v>
      </c>
      <c r="C5" s="1">
        <v>30</v>
      </c>
      <c r="D5" s="1">
        <v>10</v>
      </c>
    </row>
    <row r="6" spans="1:4">
      <c r="A6">
        <v>5</v>
      </c>
      <c r="B6" s="1">
        <v>50</v>
      </c>
      <c r="C6" s="1">
        <v>33</v>
      </c>
      <c r="D6" s="1">
        <v>0</v>
      </c>
    </row>
    <row r="7" spans="1:4">
      <c r="A7">
        <v>6</v>
      </c>
      <c r="B7" s="1">
        <v>78</v>
      </c>
      <c r="C7" s="1">
        <v>28</v>
      </c>
      <c r="D7" s="1">
        <v>22</v>
      </c>
    </row>
    <row r="8" spans="1:4">
      <c r="A8">
        <v>7</v>
      </c>
      <c r="B8" s="1">
        <v>40</v>
      </c>
      <c r="C8" s="1">
        <v>35</v>
      </c>
      <c r="D8" s="1">
        <v>6</v>
      </c>
    </row>
    <row r="10" spans="1:4">
      <c r="B10" s="3"/>
      <c r="C10" s="3"/>
    </row>
    <row r="11" spans="1:4" ht="42.75">
      <c r="B11" s="6" t="s">
        <v>19</v>
      </c>
      <c r="C11" s="4" t="s">
        <v>20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62C8B-C969-4B31-BD6F-93A5638A502D}">
  <dimension ref="A1:D11"/>
  <sheetViews>
    <sheetView workbookViewId="0">
      <selection activeCell="D10" sqref="D10"/>
    </sheetView>
  </sheetViews>
  <sheetFormatPr defaultRowHeight="15"/>
  <cols>
    <col min="2" max="2" width="11.7109375" bestFit="1" customWidth="1"/>
    <col min="3" max="3" width="14.7109375" bestFit="1" customWidth="1"/>
    <col min="4" max="4" width="10.28515625" bestFit="1" customWidth="1"/>
  </cols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9</v>
      </c>
      <c r="B2">
        <v>45</v>
      </c>
      <c r="C2">
        <v>34</v>
      </c>
      <c r="D2">
        <v>12</v>
      </c>
    </row>
    <row r="3" spans="1:4">
      <c r="A3" t="s">
        <v>10</v>
      </c>
      <c r="B3">
        <v>55</v>
      </c>
      <c r="C3">
        <v>32</v>
      </c>
      <c r="D3">
        <v>4</v>
      </c>
    </row>
    <row r="4" spans="1:4">
      <c r="A4" t="s">
        <v>11</v>
      </c>
      <c r="B4" s="1">
        <v>85</v>
      </c>
      <c r="C4" s="1">
        <v>26</v>
      </c>
      <c r="D4" s="1">
        <v>30</v>
      </c>
    </row>
    <row r="5" spans="1:4">
      <c r="A5" t="s">
        <v>12</v>
      </c>
      <c r="B5" s="1">
        <v>60</v>
      </c>
      <c r="C5" s="1">
        <v>30</v>
      </c>
      <c r="D5" s="1">
        <v>10</v>
      </c>
    </row>
    <row r="6" spans="1:4">
      <c r="A6" t="s">
        <v>13</v>
      </c>
      <c r="B6" s="1">
        <v>50</v>
      </c>
      <c r="C6" s="1">
        <v>33</v>
      </c>
      <c r="D6" s="1">
        <v>0</v>
      </c>
    </row>
    <row r="7" spans="1:4">
      <c r="A7" t="s">
        <v>14</v>
      </c>
      <c r="B7" s="1">
        <v>78</v>
      </c>
      <c r="C7" s="1">
        <v>28</v>
      </c>
      <c r="D7" s="1">
        <v>22</v>
      </c>
    </row>
    <row r="8" spans="1:4">
      <c r="A8" t="s">
        <v>15</v>
      </c>
      <c r="B8" s="1">
        <v>40</v>
      </c>
      <c r="C8" s="1">
        <v>35</v>
      </c>
      <c r="D8" s="1">
        <v>6</v>
      </c>
    </row>
    <row r="10" spans="1:4" ht="45">
      <c r="B10" s="3" t="s">
        <v>28</v>
      </c>
      <c r="C10" s="3" t="s">
        <v>29</v>
      </c>
      <c r="D10" s="3" t="s">
        <v>30</v>
      </c>
    </row>
    <row r="11" spans="1:4">
      <c r="B11" s="4" t="e">
        <f>B2 B3</f>
        <v>#NULL!</v>
      </c>
      <c r="C11" s="4" t="e">
        <f>C2+C3 C4</f>
        <v>#NULL!</v>
      </c>
      <c r="D11" s="4">
        <f>D2+D3+D5</f>
        <v>26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FCCC-CE6C-4019-8174-9601B57D0AF3}">
  <dimension ref="A1:M12"/>
  <sheetViews>
    <sheetView workbookViewId="0">
      <selection activeCell="M15" sqref="M15"/>
    </sheetView>
  </sheetViews>
  <sheetFormatPr defaultRowHeight="15"/>
  <cols>
    <col min="2" max="2" width="11.7109375" bestFit="1" customWidth="1"/>
    <col min="3" max="3" width="14.7109375" bestFit="1" customWidth="1"/>
    <col min="4" max="4" width="10.28515625" bestFit="1" customWidth="1"/>
    <col min="10" max="10" width="21.5703125" customWidth="1"/>
    <col min="11" max="11" width="23" customWidth="1"/>
    <col min="12" max="12" width="24.5703125" customWidth="1"/>
    <col min="13" max="13" width="23.5703125" customWidth="1"/>
  </cols>
  <sheetData>
    <row r="1" spans="1:13">
      <c r="A1" t="s">
        <v>3</v>
      </c>
      <c r="B1" t="s">
        <v>0</v>
      </c>
      <c r="C1" t="s">
        <v>1</v>
      </c>
      <c r="D1" t="s">
        <v>2</v>
      </c>
    </row>
    <row r="2" spans="1:13">
      <c r="A2" t="s">
        <v>9</v>
      </c>
      <c r="B2">
        <v>45</v>
      </c>
      <c r="C2">
        <v>34</v>
      </c>
      <c r="D2">
        <v>12</v>
      </c>
    </row>
    <row r="3" spans="1:13">
      <c r="A3" t="s">
        <v>10</v>
      </c>
      <c r="B3">
        <v>55</v>
      </c>
      <c r="C3">
        <v>32</v>
      </c>
      <c r="D3">
        <v>4</v>
      </c>
    </row>
    <row r="4" spans="1:13">
      <c r="A4" t="s">
        <v>11</v>
      </c>
      <c r="B4" s="1">
        <v>85</v>
      </c>
      <c r="C4" s="1">
        <v>26</v>
      </c>
      <c r="D4" s="1">
        <v>30</v>
      </c>
    </row>
    <row r="5" spans="1:13">
      <c r="A5" t="s">
        <v>12</v>
      </c>
      <c r="B5" s="1">
        <v>60</v>
      </c>
      <c r="C5" s="1">
        <v>30</v>
      </c>
      <c r="D5" s="1">
        <v>10</v>
      </c>
    </row>
    <row r="6" spans="1:13">
      <c r="A6" t="s">
        <v>13</v>
      </c>
      <c r="B6" s="1">
        <v>50</v>
      </c>
      <c r="C6" s="1">
        <v>33</v>
      </c>
      <c r="D6" s="1">
        <v>0</v>
      </c>
    </row>
    <row r="7" spans="1:13">
      <c r="A7" t="s">
        <v>14</v>
      </c>
      <c r="B7" s="1">
        <v>78</v>
      </c>
      <c r="C7" s="1">
        <v>28</v>
      </c>
      <c r="D7" s="1">
        <v>22</v>
      </c>
    </row>
    <row r="8" spans="1:13">
      <c r="A8" t="s">
        <v>15</v>
      </c>
      <c r="B8" s="1">
        <v>40</v>
      </c>
      <c r="C8" s="1">
        <v>35</v>
      </c>
      <c r="D8" s="1">
        <v>6</v>
      </c>
    </row>
    <row r="9" spans="1:13">
      <c r="M9" s="10" t="s">
        <v>43</v>
      </c>
    </row>
    <row r="10" spans="1:13" ht="51.75" customHeight="1">
      <c r="A10" s="7" t="s">
        <v>31</v>
      </c>
      <c r="B10" s="7" t="s">
        <v>32</v>
      </c>
      <c r="C10" s="7" t="s">
        <v>33</v>
      </c>
      <c r="D10" s="7" t="s">
        <v>34</v>
      </c>
      <c r="E10" s="7" t="s">
        <v>35</v>
      </c>
      <c r="F10" s="7" t="s">
        <v>36</v>
      </c>
      <c r="G10" s="7" t="s">
        <v>37</v>
      </c>
      <c r="H10" s="7" t="s">
        <v>38</v>
      </c>
      <c r="I10" s="7" t="s">
        <v>42</v>
      </c>
      <c r="J10" s="7" t="s">
        <v>39</v>
      </c>
      <c r="K10" s="7" t="s">
        <v>40</v>
      </c>
      <c r="L10" s="7" t="s">
        <v>41</v>
      </c>
      <c r="M10" s="7" t="s">
        <v>44</v>
      </c>
    </row>
    <row r="11" spans="1:13">
      <c r="A11" s="4" t="e" cm="1">
        <f t="array" aca="1" ref="A11" ca="1">_xludf.MAX(B2,B8)</f>
        <v>#NAME?</v>
      </c>
      <c r="B11" s="4">
        <f>MIN(B2,B8)</f>
        <v>40</v>
      </c>
      <c r="C11" s="4">
        <f>AVERAGE(C2,C8)</f>
        <v>34.5</v>
      </c>
      <c r="D11" s="4" t="e" cm="1">
        <f t="array" aca="1" ref="D11" ca="1">_xludf.MÁX(C2:C8)</f>
        <v>#NAME?</v>
      </c>
      <c r="E11" s="4" t="e" cm="1">
        <f t="array" aca="1" ref="E11" ca="1">_xludf.MIN(C2:C8)</f>
        <v>#NAME?</v>
      </c>
      <c r="F11" s="4">
        <f>AVERAGE(D2,D8)</f>
        <v>9</v>
      </c>
      <c r="G11" s="4">
        <f>MAX(D2:D8)</f>
        <v>30</v>
      </c>
      <c r="H11" s="4">
        <f>MAX(A2:D8)</f>
        <v>85</v>
      </c>
      <c r="J11" s="8" t="s">
        <v>12</v>
      </c>
      <c r="K11" s="9" t="s">
        <v>10</v>
      </c>
    </row>
    <row r="12" spans="1:13">
      <c r="J12" t="e">
        <f>VLOOKUP(J11,A2:D8,5,)</f>
        <v>#REF!</v>
      </c>
      <c r="K12" t="e">
        <f>VLOOKUP(K11,A2:A8,2,FALSE)</f>
        <v>#REF!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5ADF0-E070-4B3B-9F07-229960290207}">
  <dimension ref="A1:D8"/>
  <sheetViews>
    <sheetView workbookViewId="0">
      <selection activeCell="G18" sqref="G18"/>
    </sheetView>
  </sheetViews>
  <sheetFormatPr defaultRowHeight="15"/>
  <cols>
    <col min="2" max="2" width="11.7109375" bestFit="1" customWidth="1"/>
    <col min="3" max="3" width="14.7109375" bestFit="1" customWidth="1"/>
    <col min="4" max="4" width="10.28515625" bestFit="1" customWidth="1"/>
  </cols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9</v>
      </c>
      <c r="B2">
        <v>45</v>
      </c>
      <c r="C2">
        <v>34</v>
      </c>
      <c r="D2">
        <v>12</v>
      </c>
    </row>
    <row r="3" spans="1:4">
      <c r="A3" t="s">
        <v>10</v>
      </c>
      <c r="B3">
        <v>55</v>
      </c>
      <c r="C3">
        <v>32</v>
      </c>
      <c r="D3">
        <v>4</v>
      </c>
    </row>
    <row r="4" spans="1:4">
      <c r="A4" t="s">
        <v>11</v>
      </c>
      <c r="B4" s="1">
        <v>85</v>
      </c>
      <c r="C4" s="1">
        <v>26</v>
      </c>
      <c r="D4" s="1">
        <v>30</v>
      </c>
    </row>
    <row r="5" spans="1:4">
      <c r="A5" t="s">
        <v>12</v>
      </c>
      <c r="B5" s="1">
        <v>60</v>
      </c>
      <c r="C5" s="1">
        <v>30</v>
      </c>
      <c r="D5" s="1">
        <v>10</v>
      </c>
    </row>
    <row r="6" spans="1:4">
      <c r="A6" t="s">
        <v>13</v>
      </c>
      <c r="B6" s="1">
        <v>50</v>
      </c>
      <c r="C6" s="1">
        <v>33</v>
      </c>
      <c r="D6" s="1">
        <v>0</v>
      </c>
    </row>
    <row r="7" spans="1:4">
      <c r="A7" t="s">
        <v>14</v>
      </c>
      <c r="B7" s="1">
        <v>78</v>
      </c>
      <c r="C7" s="1">
        <v>28</v>
      </c>
      <c r="D7" s="1">
        <v>22</v>
      </c>
    </row>
    <row r="8" spans="1:4">
      <c r="A8" t="s">
        <v>15</v>
      </c>
      <c r="B8" s="1">
        <v>40</v>
      </c>
      <c r="C8" s="1">
        <v>35</v>
      </c>
      <c r="D8" s="1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Corrigir endereços</vt:lpstr>
      <vt:lpstr>Corrigir intervalos</vt:lpstr>
      <vt:lpstr>Ordem de operadores</vt:lpstr>
      <vt:lpstr>Apenas Fórmulas</vt:lpstr>
      <vt:lpstr>Apenas funções</vt:lpstr>
      <vt:lpstr>Gráfico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Usúario</dc:creator>
  <cp:lastModifiedBy>Usúario</cp:lastModifiedBy>
  <dcterms:created xsi:type="dcterms:W3CDTF">2025-08-19T13:31:29Z</dcterms:created>
  <dcterms:modified xsi:type="dcterms:W3CDTF">2026-02-22T23:40:16Z</dcterms:modified>
</cp:coreProperties>
</file>